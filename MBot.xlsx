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OJ LAD\Desktop\Kartik Lad\3rd Semester\Projects\MBot\"/>
    </mc:Choice>
  </mc:AlternateContent>
  <bookViews>
    <workbookView xWindow="0" yWindow="0" windowWidth="28800" windowHeight="12312"/>
  </bookViews>
  <sheets>
    <sheet name="MBot" sheetId="1" r:id="rId1"/>
  </sheets>
  <calcPr calcId="0"/>
</workbook>
</file>

<file path=xl/calcChain.xml><?xml version="1.0" encoding="utf-8"?>
<calcChain xmlns="http://schemas.openxmlformats.org/spreadsheetml/2006/main">
  <c r="E54" i="1" l="1"/>
  <c r="E45" i="1"/>
  <c r="E46" i="1"/>
  <c r="E47" i="1"/>
  <c r="E48" i="1"/>
  <c r="E49" i="1"/>
  <c r="E50" i="1"/>
  <c r="E51" i="1"/>
  <c r="E52" i="1"/>
  <c r="E37" i="1"/>
  <c r="E38" i="1"/>
  <c r="E39" i="1"/>
  <c r="E40" i="1"/>
  <c r="E41" i="1"/>
  <c r="E42" i="1"/>
  <c r="E43" i="1"/>
  <c r="E4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2" i="1"/>
</calcChain>
</file>

<file path=xl/sharedStrings.xml><?xml version="1.0" encoding="utf-8"?>
<sst xmlns="http://schemas.openxmlformats.org/spreadsheetml/2006/main" count="265" uniqueCount="176">
  <si>
    <t>Reference</t>
  </si>
  <si>
    <t>Qty</t>
  </si>
  <si>
    <t>Value</t>
  </si>
  <si>
    <t>Footprint</t>
  </si>
  <si>
    <t>Datasheet</t>
  </si>
  <si>
    <t>C1,C14,C101,C104,C117</t>
  </si>
  <si>
    <t>10u</t>
  </si>
  <si>
    <t>Capacitor_SMD:C_0805_2012Metric_Pad1.18x1.45mm_HandSolder</t>
  </si>
  <si>
    <t>~</t>
  </si>
  <si>
    <t>C2,C5,C7</t>
  </si>
  <si>
    <t>22n</t>
  </si>
  <si>
    <t>Capacitor_SMD:C_0603_1608Metric_Pad1.08x0.95mm_HandSolder</t>
  </si>
  <si>
    <t>C3,C4,C6,C13</t>
  </si>
  <si>
    <t>220n</t>
  </si>
  <si>
    <t>C8,C22,C23</t>
  </si>
  <si>
    <t>10n</t>
  </si>
  <si>
    <t>100n</t>
  </si>
  <si>
    <t>C12</t>
  </si>
  <si>
    <t>2.2n</t>
  </si>
  <si>
    <t>C17</t>
  </si>
  <si>
    <t>100u</t>
  </si>
  <si>
    <t>C21,C108</t>
  </si>
  <si>
    <t>1u</t>
  </si>
  <si>
    <t>C102,C103</t>
  </si>
  <si>
    <t>15p</t>
  </si>
  <si>
    <t>CFF1</t>
  </si>
  <si>
    <t>33n</t>
  </si>
  <si>
    <t>Cin1</t>
  </si>
  <si>
    <t>220u</t>
  </si>
  <si>
    <t>Cout1,Cout2</t>
  </si>
  <si>
    <t>22u</t>
  </si>
  <si>
    <t>D1,D2,D3</t>
  </si>
  <si>
    <t>LED</t>
  </si>
  <si>
    <t>LED_SMD:LED_0805_2012Metric_Pad1.15x1.40mm_HandSolder</t>
  </si>
  <si>
    <t>D4,D5</t>
  </si>
  <si>
    <t>SS54B</t>
  </si>
  <si>
    <t>SS54B:DIOM4336X244N</t>
  </si>
  <si>
    <t>D6,D7,D8</t>
  </si>
  <si>
    <t>WS2812B-2020</t>
  </si>
  <si>
    <t>LED_SMD:LED_WS2812B-2020_PLCC4_2.0x2.0mm</t>
  </si>
  <si>
    <t>https://cdn-shop.adafruit.com/product-files/4684/4684_WS2812B-2020_V1.3_EN.pdf</t>
  </si>
  <si>
    <t>D101,D102</t>
  </si>
  <si>
    <t>SS14</t>
  </si>
  <si>
    <t>Diode_SMD:D_SMA_Handsoldering</t>
  </si>
  <si>
    <t>https://www.vishay.com/docs/88746/ss12.pdf</t>
  </si>
  <si>
    <t>F1</t>
  </si>
  <si>
    <t>Fuse</t>
  </si>
  <si>
    <t>Fuse:Fuse_Littelfuse-NANO2-451_453</t>
  </si>
  <si>
    <t>FB1</t>
  </si>
  <si>
    <t>FerriteBead</t>
  </si>
  <si>
    <t>Inductor_SMD:L_0805_2012Metric_Pad1.05x1.20mm_HandSolder</t>
  </si>
  <si>
    <t>J1</t>
  </si>
  <si>
    <t>Micro_SD_Card_Det1</t>
  </si>
  <si>
    <t>Connector_Card:microSD_HC_Hirose_DM3AT-SF-PEJM5</t>
  </si>
  <si>
    <t>https://datasheet.lcsc.com/lcsc/2110151630_XKB-Connectivity-XKTF-015-N_C381082.pdf</t>
  </si>
  <si>
    <t>J2</t>
  </si>
  <si>
    <t>Barrel_Jack_Switch_Pin3Ring</t>
  </si>
  <si>
    <t>Connector_BarrelJack:BarrelJack_Horizontal</t>
  </si>
  <si>
    <t>J3,J5,J6,J7</t>
  </si>
  <si>
    <t>Screw_Terminal_01x02</t>
  </si>
  <si>
    <t>TerminalBlock_Phoenix:TerminalBlock_Phoenix_MPT-0,5-2-2.54_1x02_P2.54mm_Horizontal</t>
  </si>
  <si>
    <t>J4</t>
  </si>
  <si>
    <t>Conn_01x03</t>
  </si>
  <si>
    <t>Connector_JST:JST_VH_B3P-VH_1x03_P3.96mm_Vertical</t>
  </si>
  <si>
    <t>J8,J9,J10,J12,J13,J14,J15,J17</t>
  </si>
  <si>
    <t>Conn_01x04</t>
  </si>
  <si>
    <t>Connector_JST:JST_ZH_B4B-ZR_1x04_P1.50mm_Vertical</t>
  </si>
  <si>
    <t>J11</t>
  </si>
  <si>
    <t>Conn_02x06_Odd_Even</t>
  </si>
  <si>
    <t>Connector_IDC:IDC-Header_2x06_P2.54mm_Vertical</t>
  </si>
  <si>
    <t>J16</t>
  </si>
  <si>
    <t>Conn_01x06</t>
  </si>
  <si>
    <t>Connector_JST:JST_ZH_B6B-ZR_1x06_P1.50mm_Vertical</t>
  </si>
  <si>
    <t>JUSBC1</t>
  </si>
  <si>
    <t>USB_C_Receptacle_USB2.0_16P</t>
  </si>
  <si>
    <t>Connector_USB:USB_C_Receptacle_GCT_USB4085</t>
  </si>
  <si>
    <t>https://www.usb.org/sites/default/files/documents/usb_type-c.zip</t>
  </si>
  <si>
    <t>L1</t>
  </si>
  <si>
    <t>3.3u</t>
  </si>
  <si>
    <t>Inductor_SMD:L_Bourns_SRP7028A_7.3x6.6mm</t>
  </si>
  <si>
    <t>R1</t>
  </si>
  <si>
    <t>100k</t>
  </si>
  <si>
    <t>Resistor_SMD:R_0603_1608Metric_Pad0.98x0.95mm_HandSolder</t>
  </si>
  <si>
    <t>R2,R5,R7,R9,R12,R14,R101,R105</t>
  </si>
  <si>
    <t>1k</t>
  </si>
  <si>
    <t>R3,R8,R13,R32,R901</t>
  </si>
  <si>
    <t>10k</t>
  </si>
  <si>
    <t>R4,R11,R16</t>
  </si>
  <si>
    <t>R6,R10,R15</t>
  </si>
  <si>
    <t>20k</t>
  </si>
  <si>
    <t>R17,R18,R19</t>
  </si>
  <si>
    <t>R23,R24</t>
  </si>
  <si>
    <t>4.7k</t>
  </si>
  <si>
    <t>R27</t>
  </si>
  <si>
    <t>47k</t>
  </si>
  <si>
    <t>R109,RUSB1</t>
  </si>
  <si>
    <t>5.1k</t>
  </si>
  <si>
    <t>R902</t>
  </si>
  <si>
    <t>75k</t>
  </si>
  <si>
    <t>RDminus1,RDplus1</t>
  </si>
  <si>
    <t>SW4,SWRESET1</t>
  </si>
  <si>
    <t>SW_SPST</t>
  </si>
  <si>
    <t>Button_Switch_SMD:SW_Push_SPST_NO_Alps_SKRK</t>
  </si>
  <si>
    <t>U1</t>
  </si>
  <si>
    <t>74AUC1G19</t>
  </si>
  <si>
    <t>Package_TO_SOT_SMD:SOT-23-6_Handsoldering</t>
  </si>
  <si>
    <t>http://www.ti.com/lit/sg/scyt129e/scyt129e.pdf</t>
  </si>
  <si>
    <t>U2</t>
  </si>
  <si>
    <t>TPS565201DDCR</t>
  </si>
  <si>
    <t>TPS565201DDCR:SOT95P280X110-6N</t>
  </si>
  <si>
    <t>U3</t>
  </si>
  <si>
    <t>FM24W256</t>
  </si>
  <si>
    <t>Package_SO:SOIC-8_3.9x4.9mm_P1.27mm</t>
  </si>
  <si>
    <t>http://www.cypress.com/file/41651/download</t>
  </si>
  <si>
    <t>U4</t>
  </si>
  <si>
    <t>TMUX1574PW</t>
  </si>
  <si>
    <t>Package_SO:TSSOP-16_4.4x5mm_P0.65mm</t>
  </si>
  <si>
    <t>https://www.ti.com/lit/ds/symlink/tmux1574.pdf</t>
  </si>
  <si>
    <t>UBarometer1</t>
  </si>
  <si>
    <t>BMP280</t>
  </si>
  <si>
    <t>Package_LGA:Bosch_LGA-8_2x2.5mm_P0.65mm_ClockwisePinNumbering</t>
  </si>
  <si>
    <t>https://ae-bst.resource.bosch.com/media/_tech/media/datasheets/BST-BMP280-DS001.pdf</t>
  </si>
  <si>
    <t>UDRV1,UDRV2,UDRV3</t>
  </si>
  <si>
    <t>DRV8876PWPR</t>
  </si>
  <si>
    <t>DRV8876PWPR:IC_DRV8876PWPR</t>
  </si>
  <si>
    <t>UESD1</t>
  </si>
  <si>
    <t>USBLC6-2SC6</t>
  </si>
  <si>
    <t>Package_TO_SOT_SMD:SOT-23-6</t>
  </si>
  <si>
    <t>https://www.st.com/resource/en/datasheet/usblc6-2.pdf</t>
  </si>
  <si>
    <t>UFlashMem1</t>
  </si>
  <si>
    <t>W25Q16JVSS</t>
  </si>
  <si>
    <t>Package_SO:SOIC-8_5.3x5.3mm_P1.27mm</t>
  </si>
  <si>
    <t>https://www.winbond.com/hq/support/documentation/levelOne.jsp?__locale=en&amp;DocNo=DA00-W25Q16JV.1</t>
  </si>
  <si>
    <t>UIMU1</t>
  </si>
  <si>
    <t>MPU-9150</t>
  </si>
  <si>
    <t>Sensor_Motion:InvenSense_QFN-24_4x4mm_P0.5mm</t>
  </si>
  <si>
    <t>https://www.invensense.com/wp-content/uploads/2015/02/MPU-9150-Datasheet.pdf</t>
  </si>
  <si>
    <t>ULDO1</t>
  </si>
  <si>
    <t>NCP1117-3.3_SOT223</t>
  </si>
  <si>
    <t>Package_TO_SOT_SMD:SOT-223-3_TabPin2</t>
  </si>
  <si>
    <t>http://www.onsemi.com/pub_link/Collateral/NCP1117-D.PDF</t>
  </si>
  <si>
    <t>URP2040</t>
  </si>
  <si>
    <t>RP2040</t>
  </si>
  <si>
    <t>Package_DFN_QFN:QFN-56-1EP_7x7mm_P0.4mm_EP3.2x3.2mm</t>
  </si>
  <si>
    <t>https://datasheets.raspberrypi.com/rp2040/rp2040-datasheet.pdf</t>
  </si>
  <si>
    <t>YCrystalOscillator1</t>
  </si>
  <si>
    <t>ABM8-272-T3</t>
  </si>
  <si>
    <t>ABM8-272-T3:XTAL_ABM8-272-T3</t>
  </si>
  <si>
    <t>C9,C10,C11,C15,C16,C18,C19,C20,C105,C106,C107,C109,C110,C111,C112,C113,C114,C115,C120</t>
  </si>
  <si>
    <t>https://robu.in/product/33nf-0603-surface-mount-multilayer-ceramic-capacitor-pack-of-50/</t>
  </si>
  <si>
    <t>Robu</t>
  </si>
  <si>
    <t>https://robu.in/product/ac0603jrnpo9bn150-yageo-cap-ceramic-15pf-50v-c0g-5-pad-smd-0603-125c-automotive-aec-q200-t-r/</t>
  </si>
  <si>
    <t>https://robu.in/product/0603b105k160nt-fh-16v-1uf-x7r%c2%b110-0603-multilayer-ceramic-capacitors-mlcc-smd-smt-rohs/</t>
  </si>
  <si>
    <t>https://robu.in/product/2-2nf-0603-surface-mount-multilayer-ceramic-capacitor-pack-of-50/</t>
  </si>
  <si>
    <t>https://robu.in/product/100nf-0603-surface-mount-multilayer-ceramic-capacitor-pack-of-40/</t>
  </si>
  <si>
    <t>https://robu.in/product/10nf-0603-surface-mount-multilayer-ceramic-capacitor-pack-of-50/</t>
  </si>
  <si>
    <t>https://robu.in/product/220nf-0603-surface-mount-multilayer-ceramic-capacitor-pack-of-40/</t>
  </si>
  <si>
    <t>https://robu.in/product/22nf-0603-surface-mount-multilayer-ceramic-capacitor-pack-of-50/</t>
  </si>
  <si>
    <t>https://robu.in/product/0805x106k250nt-fh-25v-10uf-x5r%c2%b110-0805-multilayer-ceramic-capacitors-mlcc-smd-smt-rohs/</t>
  </si>
  <si>
    <t xml:space="preserve">Link to buy </t>
  </si>
  <si>
    <t xml:space="preserve">Site </t>
  </si>
  <si>
    <t>Total Comp cost</t>
  </si>
  <si>
    <t>Cost (per piece)</t>
  </si>
  <si>
    <t>https://robu.in/product/0805-surface-mount-led-red-50-pcs/</t>
  </si>
  <si>
    <t>https://robu.in/product/ss54b-slkor-40v-550mv5a-5a-smbdo-214aa-schottky-diodes-rohs/</t>
  </si>
  <si>
    <t>https://robu.in/product/sme-ws2812b-2020-addressable-rgb-pixel-led-worldsemi/</t>
  </si>
  <si>
    <t>https://robu.in/product/ss14-slkor-40v-550mv1a-1a-smado-214ac-schottky-diodes-rohs/</t>
  </si>
  <si>
    <t>https://robu.in/product/01550900m-littelfuse-smd5-0x9-7mm-fuseholders-rohs/</t>
  </si>
  <si>
    <t>https://robu.in/product/blm21bb201sn1d-murata-ferrite-bead-0805-2012-metric-200-ohm-500-ma-blm21b-0-26-ohm-%c2%b1-25/</t>
  </si>
  <si>
    <t>https://robu.in/product/srp7050ta-3r3m-bourns-power-inductor-smd-3-3-%c2%b5h-8-a-shielded-12-a/</t>
  </si>
  <si>
    <t>https://robu.in/product/aa0603jr-07100kl-yageo-100mw-thick-film-resistors-75v-%c2%b15-%c2%b1150ppm-%e2%84%83-100k%cf%89-0603-chip-resistor-surface-mount-rohs/</t>
  </si>
  <si>
    <t>0805 only</t>
  </si>
  <si>
    <t>sus looking robu</t>
  </si>
  <si>
    <t>https://www.lioncircuits.com/parts/DRV8876PWPR?srsltid=AfmBOoplImu60YpgGPHfI1BdeeElkbP1sitGmGD82vn0IgReCouVstWzt5k</t>
  </si>
  <si>
    <t>Lion Ckt</t>
  </si>
  <si>
    <t>header pins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</si>
</sst>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topLeftCell="A39" workbookViewId="0">
      <selection activeCell="E78" sqref="E78"/>
    </sheetView>
  </sheetViews>
  <sheetFormatPr defaultRowHeight="14.4" x14ac:dyDescent="0.3"/>
  <cols>
    <col min="1" max="1" width="28.6640625" customWidth="1"/>
    <col min="3" max="3" width="27.77734375" bestFit="1" customWidth="1"/>
    <col min="4" max="4" width="8.88671875" style="1"/>
    <col min="5" max="5" width="14.44140625" bestFit="1" customWidth="1"/>
    <col min="7" max="7" width="0" hidden="1" customWidth="1"/>
    <col min="8" max="8" width="78" bestFit="1" customWidth="1"/>
    <col min="9" max="9" width="0" hidden="1" customWidth="1"/>
  </cols>
  <sheetData>
    <row r="1" spans="1:10" x14ac:dyDescent="0.3">
      <c r="A1" t="s">
        <v>0</v>
      </c>
      <c r="B1" t="s">
        <v>1</v>
      </c>
      <c r="C1" t="s">
        <v>2</v>
      </c>
      <c r="D1" s="1" t="s">
        <v>162</v>
      </c>
      <c r="E1" t="s">
        <v>161</v>
      </c>
      <c r="F1" t="s">
        <v>160</v>
      </c>
      <c r="G1" t="s">
        <v>159</v>
      </c>
      <c r="H1" t="s">
        <v>3</v>
      </c>
      <c r="I1" t="s">
        <v>4</v>
      </c>
    </row>
    <row r="2" spans="1:10" x14ac:dyDescent="0.3">
      <c r="A2" t="s">
        <v>5</v>
      </c>
      <c r="B2">
        <v>5</v>
      </c>
      <c r="C2" t="s">
        <v>6</v>
      </c>
      <c r="D2" s="1">
        <v>1.34</v>
      </c>
      <c r="E2" s="1">
        <f>D2*B2</f>
        <v>6.7</v>
      </c>
      <c r="F2" t="s">
        <v>150</v>
      </c>
      <c r="G2" t="s">
        <v>158</v>
      </c>
      <c r="H2" t="s">
        <v>7</v>
      </c>
      <c r="I2" t="s">
        <v>8</v>
      </c>
    </row>
    <row r="3" spans="1:10" x14ac:dyDescent="0.3">
      <c r="A3" t="s">
        <v>9</v>
      </c>
      <c r="B3">
        <v>3</v>
      </c>
      <c r="C3" t="s">
        <v>10</v>
      </c>
      <c r="D3" s="1">
        <v>0.68</v>
      </c>
      <c r="E3" s="1">
        <f t="shared" ref="E3:E52" si="0">D3*B3</f>
        <v>2.04</v>
      </c>
      <c r="F3" t="s">
        <v>150</v>
      </c>
      <c r="G3" t="s">
        <v>157</v>
      </c>
      <c r="H3" t="s">
        <v>11</v>
      </c>
      <c r="I3" t="s">
        <v>8</v>
      </c>
    </row>
    <row r="4" spans="1:10" x14ac:dyDescent="0.3">
      <c r="A4" t="s">
        <v>12</v>
      </c>
      <c r="B4">
        <v>4</v>
      </c>
      <c r="C4" t="s">
        <v>13</v>
      </c>
      <c r="D4" s="1">
        <v>0.6</v>
      </c>
      <c r="E4" s="1">
        <f t="shared" si="0"/>
        <v>2.4</v>
      </c>
      <c r="F4" t="s">
        <v>150</v>
      </c>
      <c r="G4" t="s">
        <v>156</v>
      </c>
      <c r="H4" t="s">
        <v>11</v>
      </c>
      <c r="I4" t="s">
        <v>8</v>
      </c>
    </row>
    <row r="5" spans="1:10" x14ac:dyDescent="0.3">
      <c r="A5" t="s">
        <v>14</v>
      </c>
      <c r="B5">
        <v>3</v>
      </c>
      <c r="C5" t="s">
        <v>15</v>
      </c>
      <c r="D5" s="1">
        <v>0.63</v>
      </c>
      <c r="E5" s="1">
        <f t="shared" si="0"/>
        <v>1.8900000000000001</v>
      </c>
      <c r="F5" t="s">
        <v>150</v>
      </c>
      <c r="G5" t="s">
        <v>155</v>
      </c>
      <c r="H5" t="s">
        <v>11</v>
      </c>
      <c r="I5" t="s">
        <v>8</v>
      </c>
    </row>
    <row r="6" spans="1:10" x14ac:dyDescent="0.3">
      <c r="A6" t="s">
        <v>148</v>
      </c>
      <c r="B6">
        <v>19</v>
      </c>
      <c r="C6" t="s">
        <v>16</v>
      </c>
      <c r="D6" s="1">
        <v>0.3</v>
      </c>
      <c r="E6" s="1">
        <f t="shared" si="0"/>
        <v>5.7</v>
      </c>
      <c r="F6" t="s">
        <v>150</v>
      </c>
      <c r="G6" t="s">
        <v>154</v>
      </c>
      <c r="H6" t="s">
        <v>11</v>
      </c>
      <c r="I6" t="s">
        <v>8</v>
      </c>
    </row>
    <row r="7" spans="1:10" x14ac:dyDescent="0.3">
      <c r="A7" t="s">
        <v>17</v>
      </c>
      <c r="B7">
        <v>1</v>
      </c>
      <c r="C7" t="s">
        <v>18</v>
      </c>
      <c r="D7" s="1">
        <v>0.42</v>
      </c>
      <c r="E7" s="1">
        <f t="shared" si="0"/>
        <v>0.42</v>
      </c>
      <c r="F7" t="s">
        <v>150</v>
      </c>
      <c r="G7" t="s">
        <v>153</v>
      </c>
      <c r="H7" t="s">
        <v>11</v>
      </c>
      <c r="I7" t="s">
        <v>8</v>
      </c>
    </row>
    <row r="8" spans="1:10" x14ac:dyDescent="0.3">
      <c r="A8" t="s">
        <v>19</v>
      </c>
      <c r="B8">
        <v>1</v>
      </c>
      <c r="C8" t="s">
        <v>20</v>
      </c>
      <c r="E8" s="1">
        <f t="shared" si="0"/>
        <v>0</v>
      </c>
      <c r="H8" t="s">
        <v>7</v>
      </c>
      <c r="I8" t="s">
        <v>8</v>
      </c>
      <c r="J8" s="2"/>
    </row>
    <row r="9" spans="1:10" x14ac:dyDescent="0.3">
      <c r="A9" t="s">
        <v>21</v>
      </c>
      <c r="B9">
        <v>2</v>
      </c>
      <c r="C9" t="s">
        <v>22</v>
      </c>
      <c r="D9" s="1">
        <v>0.55000000000000004</v>
      </c>
      <c r="E9" s="1">
        <f t="shared" si="0"/>
        <v>1.1000000000000001</v>
      </c>
      <c r="F9" t="s">
        <v>150</v>
      </c>
      <c r="G9" t="s">
        <v>152</v>
      </c>
      <c r="H9" t="s">
        <v>11</v>
      </c>
      <c r="I9" t="s">
        <v>8</v>
      </c>
    </row>
    <row r="10" spans="1:10" x14ac:dyDescent="0.3">
      <c r="A10" t="s">
        <v>23</v>
      </c>
      <c r="B10">
        <v>2</v>
      </c>
      <c r="C10" t="s">
        <v>24</v>
      </c>
      <c r="D10" s="1">
        <v>0.24</v>
      </c>
      <c r="E10" s="1">
        <f t="shared" si="0"/>
        <v>0.48</v>
      </c>
      <c r="F10" t="s">
        <v>150</v>
      </c>
      <c r="G10" t="s">
        <v>151</v>
      </c>
      <c r="H10" t="s">
        <v>11</v>
      </c>
      <c r="I10" t="s">
        <v>8</v>
      </c>
    </row>
    <row r="11" spans="1:10" x14ac:dyDescent="0.3">
      <c r="A11" t="s">
        <v>25</v>
      </c>
      <c r="B11">
        <v>1</v>
      </c>
      <c r="C11" t="s">
        <v>26</v>
      </c>
      <c r="D11" s="1">
        <v>0.68</v>
      </c>
      <c r="E11" s="1">
        <f t="shared" si="0"/>
        <v>0.68</v>
      </c>
      <c r="F11" t="s">
        <v>150</v>
      </c>
      <c r="G11" t="s">
        <v>149</v>
      </c>
      <c r="H11" t="s">
        <v>11</v>
      </c>
      <c r="I11" t="s">
        <v>8</v>
      </c>
    </row>
    <row r="12" spans="1:10" x14ac:dyDescent="0.3">
      <c r="A12" t="s">
        <v>27</v>
      </c>
      <c r="B12">
        <v>1</v>
      </c>
      <c r="C12" t="s">
        <v>28</v>
      </c>
      <c r="E12" s="1">
        <f t="shared" si="0"/>
        <v>0</v>
      </c>
      <c r="H12" t="s">
        <v>7</v>
      </c>
      <c r="I12" t="s">
        <v>8</v>
      </c>
      <c r="J12" s="2"/>
    </row>
    <row r="13" spans="1:10" x14ac:dyDescent="0.3">
      <c r="A13" t="s">
        <v>29</v>
      </c>
      <c r="B13">
        <v>2</v>
      </c>
      <c r="C13" t="s">
        <v>30</v>
      </c>
      <c r="E13" s="1">
        <f t="shared" si="0"/>
        <v>0</v>
      </c>
      <c r="H13" t="s">
        <v>7</v>
      </c>
      <c r="I13" t="s">
        <v>8</v>
      </c>
      <c r="J13" s="2"/>
    </row>
    <row r="14" spans="1:10" x14ac:dyDescent="0.3">
      <c r="A14" t="s">
        <v>31</v>
      </c>
      <c r="B14">
        <v>3</v>
      </c>
      <c r="C14" t="s">
        <v>32</v>
      </c>
      <c r="D14" s="1">
        <v>1.18</v>
      </c>
      <c r="E14" s="1">
        <f t="shared" si="0"/>
        <v>3.54</v>
      </c>
      <c r="F14" t="s">
        <v>150</v>
      </c>
      <c r="G14" t="s">
        <v>163</v>
      </c>
      <c r="H14" t="s">
        <v>33</v>
      </c>
      <c r="I14" t="s">
        <v>8</v>
      </c>
    </row>
    <row r="15" spans="1:10" x14ac:dyDescent="0.3">
      <c r="A15" t="s">
        <v>34</v>
      </c>
      <c r="B15">
        <v>2</v>
      </c>
      <c r="C15" t="s">
        <v>35</v>
      </c>
      <c r="D15" s="1">
        <v>6</v>
      </c>
      <c r="E15" s="1">
        <f t="shared" si="0"/>
        <v>12</v>
      </c>
      <c r="F15" t="s">
        <v>150</v>
      </c>
      <c r="G15" t="s">
        <v>164</v>
      </c>
      <c r="H15" t="s">
        <v>36</v>
      </c>
    </row>
    <row r="16" spans="1:10" x14ac:dyDescent="0.3">
      <c r="A16" t="s">
        <v>37</v>
      </c>
      <c r="B16">
        <v>3</v>
      </c>
      <c r="C16" t="s">
        <v>38</v>
      </c>
      <c r="D16" s="1">
        <v>8</v>
      </c>
      <c r="E16" s="1">
        <f t="shared" si="0"/>
        <v>24</v>
      </c>
      <c r="F16" t="s">
        <v>150</v>
      </c>
      <c r="G16" t="s">
        <v>165</v>
      </c>
      <c r="H16" t="s">
        <v>39</v>
      </c>
      <c r="I16" t="s">
        <v>40</v>
      </c>
    </row>
    <row r="17" spans="1:10" x14ac:dyDescent="0.3">
      <c r="A17" t="s">
        <v>41</v>
      </c>
      <c r="B17">
        <v>2</v>
      </c>
      <c r="C17" t="s">
        <v>42</v>
      </c>
      <c r="D17" s="1">
        <v>1.35</v>
      </c>
      <c r="E17" s="1">
        <f t="shared" si="0"/>
        <v>2.7</v>
      </c>
      <c r="F17" t="s">
        <v>150</v>
      </c>
      <c r="G17" t="s">
        <v>166</v>
      </c>
      <c r="H17" t="s">
        <v>43</v>
      </c>
      <c r="I17" t="s">
        <v>44</v>
      </c>
    </row>
    <row r="18" spans="1:10" x14ac:dyDescent="0.3">
      <c r="A18" t="s">
        <v>45</v>
      </c>
      <c r="B18">
        <v>1</v>
      </c>
      <c r="C18" t="s">
        <v>46</v>
      </c>
      <c r="D18" s="1">
        <v>33</v>
      </c>
      <c r="E18" s="1">
        <f t="shared" si="0"/>
        <v>33</v>
      </c>
      <c r="F18" t="s">
        <v>150</v>
      </c>
      <c r="G18" t="s">
        <v>167</v>
      </c>
      <c r="H18" t="s">
        <v>47</v>
      </c>
      <c r="I18" t="s">
        <v>8</v>
      </c>
    </row>
    <row r="19" spans="1:10" x14ac:dyDescent="0.3">
      <c r="A19" t="s">
        <v>48</v>
      </c>
      <c r="B19">
        <v>1</v>
      </c>
      <c r="C19" t="s">
        <v>49</v>
      </c>
      <c r="D19" s="1">
        <v>4.67</v>
      </c>
      <c r="E19" s="1">
        <f t="shared" si="0"/>
        <v>4.67</v>
      </c>
      <c r="F19" t="s">
        <v>150</v>
      </c>
      <c r="G19" t="s">
        <v>168</v>
      </c>
      <c r="H19" t="s">
        <v>50</v>
      </c>
      <c r="I19" t="s">
        <v>8</v>
      </c>
    </row>
    <row r="20" spans="1:10" x14ac:dyDescent="0.3">
      <c r="A20" t="s">
        <v>51</v>
      </c>
      <c r="B20">
        <v>1</v>
      </c>
      <c r="C20" t="s">
        <v>52</v>
      </c>
      <c r="E20" s="1">
        <f t="shared" si="0"/>
        <v>0</v>
      </c>
      <c r="H20" t="s">
        <v>53</v>
      </c>
      <c r="I20" t="s">
        <v>54</v>
      </c>
      <c r="J20" s="2"/>
    </row>
    <row r="21" spans="1:10" x14ac:dyDescent="0.3">
      <c r="A21" t="s">
        <v>55</v>
      </c>
      <c r="B21">
        <v>1</v>
      </c>
      <c r="C21" t="s">
        <v>56</v>
      </c>
      <c r="E21" s="1">
        <f t="shared" si="0"/>
        <v>0</v>
      </c>
      <c r="H21" t="s">
        <v>57</v>
      </c>
      <c r="I21" t="s">
        <v>8</v>
      </c>
      <c r="J21" s="2"/>
    </row>
    <row r="22" spans="1:10" x14ac:dyDescent="0.3">
      <c r="A22" t="s">
        <v>58</v>
      </c>
      <c r="B22">
        <v>4</v>
      </c>
      <c r="C22" t="s">
        <v>59</v>
      </c>
      <c r="E22" s="1">
        <f t="shared" si="0"/>
        <v>0</v>
      </c>
      <c r="H22" t="s">
        <v>60</v>
      </c>
      <c r="I22" t="s">
        <v>8</v>
      </c>
      <c r="J22" s="2"/>
    </row>
    <row r="23" spans="1:10" x14ac:dyDescent="0.3">
      <c r="A23" t="s">
        <v>61</v>
      </c>
      <c r="B23">
        <v>1</v>
      </c>
      <c r="C23" t="s">
        <v>62</v>
      </c>
      <c r="E23" s="1">
        <f t="shared" si="0"/>
        <v>0</v>
      </c>
      <c r="H23" t="s">
        <v>63</v>
      </c>
      <c r="I23" t="s">
        <v>8</v>
      </c>
      <c r="J23" s="2"/>
    </row>
    <row r="24" spans="1:10" x14ac:dyDescent="0.3">
      <c r="A24" t="s">
        <v>64</v>
      </c>
      <c r="B24">
        <v>8</v>
      </c>
      <c r="C24" t="s">
        <v>65</v>
      </c>
      <c r="E24" s="1">
        <f t="shared" si="0"/>
        <v>0</v>
      </c>
      <c r="H24" t="s">
        <v>66</v>
      </c>
      <c r="I24" t="s">
        <v>8</v>
      </c>
      <c r="J24" s="2"/>
    </row>
    <row r="25" spans="1:10" x14ac:dyDescent="0.3">
      <c r="A25" t="s">
        <v>67</v>
      </c>
      <c r="B25">
        <v>1</v>
      </c>
      <c r="C25" t="s">
        <v>68</v>
      </c>
      <c r="E25" s="1">
        <f t="shared" si="0"/>
        <v>0</v>
      </c>
      <c r="H25" t="s">
        <v>69</v>
      </c>
      <c r="I25" t="s">
        <v>8</v>
      </c>
      <c r="J25" s="2"/>
    </row>
    <row r="26" spans="1:10" x14ac:dyDescent="0.3">
      <c r="A26" t="s">
        <v>70</v>
      </c>
      <c r="B26">
        <v>1</v>
      </c>
      <c r="C26" t="s">
        <v>71</v>
      </c>
      <c r="E26" s="1">
        <f t="shared" si="0"/>
        <v>0</v>
      </c>
      <c r="H26" t="s">
        <v>72</v>
      </c>
      <c r="I26" t="s">
        <v>8</v>
      </c>
      <c r="J26" s="2"/>
    </row>
    <row r="27" spans="1:10" x14ac:dyDescent="0.3">
      <c r="A27" t="s">
        <v>73</v>
      </c>
      <c r="B27">
        <v>1</v>
      </c>
      <c r="C27" t="s">
        <v>74</v>
      </c>
      <c r="E27" s="1">
        <f t="shared" si="0"/>
        <v>0</v>
      </c>
      <c r="H27" t="s">
        <v>75</v>
      </c>
      <c r="I27" t="s">
        <v>76</v>
      </c>
      <c r="J27" s="2"/>
    </row>
    <row r="28" spans="1:10" x14ac:dyDescent="0.3">
      <c r="A28" t="s">
        <v>77</v>
      </c>
      <c r="B28">
        <v>1</v>
      </c>
      <c r="C28" t="s">
        <v>78</v>
      </c>
      <c r="D28" s="1">
        <v>11</v>
      </c>
      <c r="E28" s="1">
        <f t="shared" si="0"/>
        <v>11</v>
      </c>
      <c r="F28" t="s">
        <v>150</v>
      </c>
      <c r="G28" t="s">
        <v>169</v>
      </c>
      <c r="H28" t="s">
        <v>79</v>
      </c>
      <c r="I28" t="s">
        <v>8</v>
      </c>
    </row>
    <row r="29" spans="1:10" x14ac:dyDescent="0.3">
      <c r="A29" t="s">
        <v>80</v>
      </c>
      <c r="B29">
        <v>1</v>
      </c>
      <c r="C29" t="s">
        <v>81</v>
      </c>
      <c r="D29" s="1">
        <v>1.38</v>
      </c>
      <c r="E29" s="1">
        <f t="shared" si="0"/>
        <v>1.38</v>
      </c>
      <c r="F29" t="s">
        <v>150</v>
      </c>
      <c r="G29" t="s">
        <v>170</v>
      </c>
      <c r="H29" t="s">
        <v>82</v>
      </c>
      <c r="I29" t="s">
        <v>8</v>
      </c>
    </row>
    <row r="30" spans="1:10" x14ac:dyDescent="0.3">
      <c r="A30" t="s">
        <v>83</v>
      </c>
      <c r="B30">
        <v>8</v>
      </c>
      <c r="C30" t="s">
        <v>84</v>
      </c>
      <c r="D30" s="1">
        <v>0.35</v>
      </c>
      <c r="E30" s="1">
        <f t="shared" si="0"/>
        <v>2.8</v>
      </c>
      <c r="F30" t="s">
        <v>150</v>
      </c>
      <c r="H30" t="s">
        <v>82</v>
      </c>
      <c r="I30" t="s">
        <v>8</v>
      </c>
    </row>
    <row r="31" spans="1:10" x14ac:dyDescent="0.3">
      <c r="A31" t="s">
        <v>85</v>
      </c>
      <c r="B31">
        <v>5</v>
      </c>
      <c r="C31" t="s">
        <v>86</v>
      </c>
      <c r="D31" s="1">
        <v>0.35</v>
      </c>
      <c r="E31" s="1">
        <f t="shared" si="0"/>
        <v>1.75</v>
      </c>
      <c r="F31" t="s">
        <v>150</v>
      </c>
      <c r="H31" t="s">
        <v>82</v>
      </c>
      <c r="I31" t="s">
        <v>8</v>
      </c>
    </row>
    <row r="32" spans="1:10" x14ac:dyDescent="0.3">
      <c r="A32" t="s">
        <v>87</v>
      </c>
      <c r="B32">
        <v>3</v>
      </c>
      <c r="C32">
        <v>220</v>
      </c>
      <c r="D32" s="1">
        <v>0.35</v>
      </c>
      <c r="E32" s="1">
        <f t="shared" si="0"/>
        <v>1.0499999999999998</v>
      </c>
      <c r="F32" t="s">
        <v>150</v>
      </c>
      <c r="H32" t="s">
        <v>82</v>
      </c>
      <c r="I32" t="s">
        <v>8</v>
      </c>
    </row>
    <row r="33" spans="1:10" x14ac:dyDescent="0.3">
      <c r="A33" t="s">
        <v>88</v>
      </c>
      <c r="B33">
        <v>3</v>
      </c>
      <c r="C33" t="s">
        <v>89</v>
      </c>
      <c r="D33" s="1">
        <v>0.3</v>
      </c>
      <c r="E33" s="1">
        <f t="shared" si="0"/>
        <v>0.89999999999999991</v>
      </c>
      <c r="F33" t="s">
        <v>150</v>
      </c>
      <c r="H33" t="s">
        <v>82</v>
      </c>
      <c r="I33" t="s">
        <v>8</v>
      </c>
    </row>
    <row r="34" spans="1:10" x14ac:dyDescent="0.3">
      <c r="A34" t="s">
        <v>90</v>
      </c>
      <c r="B34">
        <v>3</v>
      </c>
      <c r="C34">
        <v>330</v>
      </c>
      <c r="D34" s="1">
        <v>0.46</v>
      </c>
      <c r="E34" s="1">
        <f t="shared" si="0"/>
        <v>1.3800000000000001</v>
      </c>
      <c r="F34" t="s">
        <v>150</v>
      </c>
      <c r="H34" t="s">
        <v>82</v>
      </c>
      <c r="I34" t="s">
        <v>8</v>
      </c>
    </row>
    <row r="35" spans="1:10" x14ac:dyDescent="0.3">
      <c r="A35" t="s">
        <v>91</v>
      </c>
      <c r="B35">
        <v>2</v>
      </c>
      <c r="C35" t="s">
        <v>92</v>
      </c>
      <c r="D35" s="1">
        <v>0.35</v>
      </c>
      <c r="E35" s="1">
        <f t="shared" si="0"/>
        <v>0.7</v>
      </c>
      <c r="F35" t="s">
        <v>150</v>
      </c>
      <c r="H35" t="s">
        <v>82</v>
      </c>
      <c r="I35" t="s">
        <v>8</v>
      </c>
    </row>
    <row r="36" spans="1:10" x14ac:dyDescent="0.3">
      <c r="A36" t="s">
        <v>93</v>
      </c>
      <c r="B36">
        <v>1</v>
      </c>
      <c r="C36" t="s">
        <v>94</v>
      </c>
      <c r="D36" s="1">
        <v>0.35</v>
      </c>
      <c r="E36" s="1">
        <f t="shared" si="0"/>
        <v>0.35</v>
      </c>
      <c r="F36" t="s">
        <v>150</v>
      </c>
      <c r="H36" t="s">
        <v>82</v>
      </c>
      <c r="I36" t="s">
        <v>8</v>
      </c>
    </row>
    <row r="37" spans="1:10" x14ac:dyDescent="0.3">
      <c r="A37" t="s">
        <v>95</v>
      </c>
      <c r="B37">
        <v>2</v>
      </c>
      <c r="C37" t="s">
        <v>96</v>
      </c>
      <c r="D37" s="1">
        <v>0.32</v>
      </c>
      <c r="E37" s="1">
        <f>D37*B37</f>
        <v>0.64</v>
      </c>
      <c r="F37" t="s">
        <v>150</v>
      </c>
      <c r="H37" t="s">
        <v>82</v>
      </c>
      <c r="I37" t="s">
        <v>8</v>
      </c>
    </row>
    <row r="38" spans="1:10" x14ac:dyDescent="0.3">
      <c r="A38" t="s">
        <v>97</v>
      </c>
      <c r="B38">
        <v>1</v>
      </c>
      <c r="C38" t="s">
        <v>98</v>
      </c>
      <c r="D38" s="1">
        <v>0.44</v>
      </c>
      <c r="E38" s="1">
        <f t="shared" si="0"/>
        <v>0.44</v>
      </c>
      <c r="F38" t="s">
        <v>150</v>
      </c>
      <c r="H38" t="s">
        <v>82</v>
      </c>
      <c r="I38" t="s">
        <v>8</v>
      </c>
    </row>
    <row r="39" spans="1:10" x14ac:dyDescent="0.3">
      <c r="A39" t="s">
        <v>99</v>
      </c>
      <c r="B39">
        <v>2</v>
      </c>
      <c r="C39">
        <v>27</v>
      </c>
      <c r="D39" s="1">
        <v>0.82</v>
      </c>
      <c r="E39" s="1">
        <f t="shared" si="0"/>
        <v>1.64</v>
      </c>
      <c r="F39" t="s">
        <v>150</v>
      </c>
      <c r="H39" t="s">
        <v>82</v>
      </c>
      <c r="I39" t="s">
        <v>8</v>
      </c>
      <c r="J39" t="s">
        <v>171</v>
      </c>
    </row>
    <row r="40" spans="1:10" x14ac:dyDescent="0.3">
      <c r="A40" t="s">
        <v>100</v>
      </c>
      <c r="B40">
        <v>2</v>
      </c>
      <c r="C40" t="s">
        <v>101</v>
      </c>
      <c r="E40" s="1">
        <f t="shared" si="0"/>
        <v>0</v>
      </c>
      <c r="H40" t="s">
        <v>102</v>
      </c>
      <c r="I40" t="s">
        <v>8</v>
      </c>
      <c r="J40" s="2"/>
    </row>
    <row r="41" spans="1:10" x14ac:dyDescent="0.3">
      <c r="A41" t="s">
        <v>103</v>
      </c>
      <c r="B41">
        <v>1</v>
      </c>
      <c r="C41" t="s">
        <v>104</v>
      </c>
      <c r="D41" s="1">
        <v>16</v>
      </c>
      <c r="E41" s="1">
        <f t="shared" si="0"/>
        <v>16</v>
      </c>
      <c r="F41" t="s">
        <v>150</v>
      </c>
      <c r="H41" t="s">
        <v>105</v>
      </c>
      <c r="I41" t="s">
        <v>106</v>
      </c>
    </row>
    <row r="42" spans="1:10" x14ac:dyDescent="0.3">
      <c r="A42" t="s">
        <v>107</v>
      </c>
      <c r="B42">
        <v>1</v>
      </c>
      <c r="C42" t="s">
        <v>108</v>
      </c>
      <c r="D42" s="1">
        <v>11</v>
      </c>
      <c r="E42" s="1">
        <f t="shared" si="0"/>
        <v>11</v>
      </c>
      <c r="F42" t="s">
        <v>150</v>
      </c>
      <c r="H42" t="s">
        <v>109</v>
      </c>
      <c r="J42" t="s">
        <v>172</v>
      </c>
    </row>
    <row r="43" spans="1:10" x14ac:dyDescent="0.3">
      <c r="A43" t="s">
        <v>110</v>
      </c>
      <c r="B43">
        <v>1</v>
      </c>
      <c r="C43" t="s">
        <v>111</v>
      </c>
      <c r="D43" s="1">
        <v>207</v>
      </c>
      <c r="E43" s="1">
        <f t="shared" si="0"/>
        <v>207</v>
      </c>
      <c r="F43" t="s">
        <v>150</v>
      </c>
      <c r="H43" t="s">
        <v>112</v>
      </c>
      <c r="I43" t="s">
        <v>113</v>
      </c>
    </row>
    <row r="44" spans="1:10" x14ac:dyDescent="0.3">
      <c r="A44" t="s">
        <v>114</v>
      </c>
      <c r="B44">
        <v>1</v>
      </c>
      <c r="C44" t="s">
        <v>115</v>
      </c>
      <c r="D44" s="1">
        <v>37</v>
      </c>
      <c r="E44" s="1">
        <f t="shared" si="0"/>
        <v>37</v>
      </c>
      <c r="F44" t="s">
        <v>150</v>
      </c>
      <c r="H44" t="s">
        <v>116</v>
      </c>
      <c r="I44" t="s">
        <v>117</v>
      </c>
    </row>
    <row r="45" spans="1:10" x14ac:dyDescent="0.3">
      <c r="A45" t="s">
        <v>118</v>
      </c>
      <c r="B45">
        <v>1</v>
      </c>
      <c r="C45" t="s">
        <v>119</v>
      </c>
      <c r="D45" s="1">
        <v>33</v>
      </c>
      <c r="E45" s="1">
        <f>D45*B45</f>
        <v>33</v>
      </c>
      <c r="H45" t="s">
        <v>120</v>
      </c>
      <c r="I45" t="s">
        <v>121</v>
      </c>
      <c r="J45" t="s">
        <v>175</v>
      </c>
    </row>
    <row r="46" spans="1:10" x14ac:dyDescent="0.3">
      <c r="A46" t="s">
        <v>122</v>
      </c>
      <c r="B46">
        <v>3</v>
      </c>
      <c r="C46" t="s">
        <v>123</v>
      </c>
      <c r="D46" s="1">
        <v>189</v>
      </c>
      <c r="E46" s="1">
        <f t="shared" si="0"/>
        <v>567</v>
      </c>
      <c r="F46" t="s">
        <v>174</v>
      </c>
      <c r="G46" t="s">
        <v>173</v>
      </c>
      <c r="H46" t="s">
        <v>124</v>
      </c>
    </row>
    <row r="47" spans="1:10" x14ac:dyDescent="0.3">
      <c r="A47" t="s">
        <v>125</v>
      </c>
      <c r="B47">
        <v>1</v>
      </c>
      <c r="C47" t="s">
        <v>126</v>
      </c>
      <c r="D47" s="1">
        <v>6</v>
      </c>
      <c r="E47" s="1">
        <f t="shared" si="0"/>
        <v>6</v>
      </c>
      <c r="F47" t="s">
        <v>150</v>
      </c>
      <c r="H47" t="s">
        <v>127</v>
      </c>
      <c r="I47" t="s">
        <v>128</v>
      </c>
    </row>
    <row r="48" spans="1:10" x14ac:dyDescent="0.3">
      <c r="A48" t="s">
        <v>129</v>
      </c>
      <c r="B48">
        <v>1</v>
      </c>
      <c r="C48" t="s">
        <v>130</v>
      </c>
      <c r="D48" s="1">
        <v>51</v>
      </c>
      <c r="E48" s="1">
        <f t="shared" si="0"/>
        <v>51</v>
      </c>
      <c r="F48" t="s">
        <v>150</v>
      </c>
      <c r="H48" t="s">
        <v>131</v>
      </c>
      <c r="I48" t="s">
        <v>132</v>
      </c>
    </row>
    <row r="49" spans="1:10" x14ac:dyDescent="0.3">
      <c r="A49" t="s">
        <v>133</v>
      </c>
      <c r="B49">
        <v>1</v>
      </c>
      <c r="C49" t="s">
        <v>134</v>
      </c>
      <c r="E49" s="1">
        <f t="shared" si="0"/>
        <v>0</v>
      </c>
      <c r="F49" t="s">
        <v>150</v>
      </c>
      <c r="H49" t="s">
        <v>135</v>
      </c>
      <c r="I49" t="s">
        <v>136</v>
      </c>
      <c r="J49" s="3"/>
    </row>
    <row r="50" spans="1:10" x14ac:dyDescent="0.3">
      <c r="A50" t="s">
        <v>137</v>
      </c>
      <c r="B50">
        <v>1</v>
      </c>
      <c r="C50" t="s">
        <v>138</v>
      </c>
      <c r="D50" s="1">
        <v>23</v>
      </c>
      <c r="E50" s="1">
        <f t="shared" si="0"/>
        <v>23</v>
      </c>
      <c r="F50" t="s">
        <v>150</v>
      </c>
      <c r="H50" t="s">
        <v>139</v>
      </c>
      <c r="I50" t="s">
        <v>140</v>
      </c>
    </row>
    <row r="51" spans="1:10" x14ac:dyDescent="0.3">
      <c r="A51" t="s">
        <v>141</v>
      </c>
      <c r="B51">
        <v>1</v>
      </c>
      <c r="C51" t="s">
        <v>142</v>
      </c>
      <c r="D51" s="1">
        <v>80</v>
      </c>
      <c r="E51" s="1">
        <f t="shared" si="0"/>
        <v>80</v>
      </c>
      <c r="F51" t="s">
        <v>150</v>
      </c>
      <c r="H51" t="s">
        <v>143</v>
      </c>
      <c r="I51" t="s">
        <v>144</v>
      </c>
    </row>
    <row r="52" spans="1:10" x14ac:dyDescent="0.3">
      <c r="A52" t="s">
        <v>145</v>
      </c>
      <c r="B52">
        <v>1</v>
      </c>
      <c r="C52" t="s">
        <v>146</v>
      </c>
      <c r="D52" s="1">
        <v>65</v>
      </c>
      <c r="E52" s="1">
        <f t="shared" si="0"/>
        <v>65</v>
      </c>
      <c r="F52" t="s">
        <v>150</v>
      </c>
      <c r="H52" t="s">
        <v>147</v>
      </c>
    </row>
    <row r="54" spans="1:10" x14ac:dyDescent="0.3">
      <c r="E54" s="1">
        <f>SUM(E2:E52)</f>
        <v>1221.3499999999999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LAD</dc:creator>
  <cp:lastModifiedBy>MANOJ LAD</cp:lastModifiedBy>
  <dcterms:modified xsi:type="dcterms:W3CDTF">2026-03-01T10:33:33Z</dcterms:modified>
</cp:coreProperties>
</file>